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2" customWidth="1" min="5" max="5"/>
    <col width="8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0" customWidth="1" min="13" max="13"/>
    <col width="16" customWidth="1" min="14" max="14"/>
  </cols>
  <sheetData>
    <row r="1" ht="30" customHeight="1">
      <c r="A1" s="1" t="inlineStr">
        <is>
          <t>NIR - Notă de Intrare Recepție — 02.03.2026</t>
        </is>
      </c>
    </row>
    <row r="3" ht="35" customHeight="1">
      <c r="A3" s="2" t="inlineStr">
        <is>
          <t>Id produs</t>
        </is>
      </c>
      <c r="B3" s="2" t="inlineStr">
        <is>
          <t>Nume</t>
        </is>
      </c>
      <c r="C3" s="2" t="inlineStr">
        <is>
          <t>Culoare</t>
        </is>
      </c>
      <c r="D3" s="2" t="inlineStr">
        <is>
          <t>Cod</t>
        </is>
      </c>
      <c r="E3" s="2" t="inlineStr">
        <is>
          <t>Mărimi</t>
        </is>
      </c>
      <c r="F3" s="2" t="inlineStr">
        <is>
          <t>Buc</t>
        </is>
      </c>
      <c r="G3" s="2" t="inlineStr">
        <is>
          <t>Preț intrare</t>
        </is>
      </c>
      <c r="H3" s="2" t="inlineStr">
        <is>
          <t>Preț ieșire</t>
        </is>
      </c>
      <c r="I3" s="2" t="inlineStr">
        <is>
          <t>Valoare intrare</t>
        </is>
      </c>
      <c r="J3" s="2" t="inlineStr">
        <is>
          <t>Valoare ieșire</t>
        </is>
      </c>
      <c r="K3" s="2" t="inlineStr">
        <is>
          <t>TVA</t>
        </is>
      </c>
      <c r="L3" s="2" t="inlineStr">
        <is>
          <t>Adaos comercial</t>
        </is>
      </c>
      <c r="M3" s="2" t="inlineStr">
        <is>
          <t>Cotă TVA</t>
        </is>
      </c>
      <c r="N3" s="2" t="inlineStr">
        <is>
          <t>Total intrare</t>
        </is>
      </c>
    </row>
    <row r="4">
      <c r="A4" s="3" t="n">
        <v>12356</v>
      </c>
      <c r="B4" s="4" t="inlineStr">
        <is>
          <t>Nicola</t>
        </is>
      </c>
      <c r="C4" s="3" t="inlineStr">
        <is>
          <t>Bordo</t>
        </is>
      </c>
      <c r="D4" s="3" t="inlineStr">
        <is>
          <t>FBR-58353</t>
        </is>
      </c>
      <c r="E4" s="3" t="inlineStr">
        <is>
          <t>36-42</t>
        </is>
      </c>
      <c r="F4" s="5" t="n">
        <v>7</v>
      </c>
      <c r="G4" s="6" t="n">
        <v>140</v>
      </c>
      <c r="H4" s="6" t="n">
        <v>489</v>
      </c>
      <c r="I4" s="6">
        <f>F4*G4</f>
        <v/>
      </c>
      <c r="J4" s="6">
        <f>F4*H4</f>
        <v/>
      </c>
      <c r="K4" s="6">
        <f>J4*M4/(100+M4)</f>
        <v/>
      </c>
      <c r="L4" s="6">
        <f>J4-I4-K4</f>
        <v/>
      </c>
      <c r="M4" s="3" t="n">
        <v>21</v>
      </c>
      <c r="N4" s="6">
        <f>I4</f>
        <v/>
      </c>
    </row>
    <row r="5">
      <c r="A5" s="7" t="n">
        <v>12357</v>
      </c>
      <c r="B5" s="8" t="inlineStr">
        <is>
          <t>Patrizia albastra cu</t>
        </is>
      </c>
      <c r="C5" s="7" t="inlineStr">
        <is>
          <t>Albastru, Animal print, Cappuccino</t>
        </is>
      </c>
      <c r="D5" s="7" t="inlineStr">
        <is>
          <t>FBR-asldw42</t>
        </is>
      </c>
      <c r="E5" s="7" t="inlineStr">
        <is>
          <t>36-40</t>
        </is>
      </c>
      <c r="F5" s="9" t="n">
        <v>6</v>
      </c>
      <c r="G5" s="10" t="n">
        <v>71</v>
      </c>
      <c r="H5" s="10" t="n">
        <v>324</v>
      </c>
      <c r="I5" s="10">
        <f>F5*G5</f>
        <v/>
      </c>
      <c r="J5" s="10">
        <f>F5*H5</f>
        <v/>
      </c>
      <c r="K5" s="10">
        <f>J5*M5/(100+M5)</f>
        <v/>
      </c>
      <c r="L5" s="10">
        <f>J5-I5-K5</f>
        <v/>
      </c>
      <c r="M5" s="7" t="n">
        <v>21</v>
      </c>
      <c r="N5" s="10">
        <f>I5</f>
        <v/>
      </c>
    </row>
    <row r="6">
      <c r="A6" s="3" t="n">
        <v>12358</v>
      </c>
      <c r="B6" s="4" t="inlineStr">
        <is>
          <t>Rachel cu imprimeu</t>
        </is>
      </c>
      <c r="C6" s="3" t="inlineStr">
        <is>
          <t>Albastru, Animal print, Fistic</t>
        </is>
      </c>
      <c r="D6" s="3" t="inlineStr">
        <is>
          <t>FBR-26k1832</t>
        </is>
      </c>
      <c r="E6" s="3" t="inlineStr">
        <is>
          <t>36-42</t>
        </is>
      </c>
      <c r="F6" s="5" t="n">
        <v>4</v>
      </c>
      <c r="G6" s="6" t="n">
        <v>81</v>
      </c>
      <c r="H6" s="6" t="n">
        <v>324</v>
      </c>
      <c r="I6" s="6">
        <f>F6*G6</f>
        <v/>
      </c>
      <c r="J6" s="6">
        <f>F6*H6</f>
        <v/>
      </c>
      <c r="K6" s="6">
        <f>J6*M6/(100+M6)</f>
        <v/>
      </c>
      <c r="L6" s="6">
        <f>J6-I6-K6</f>
        <v/>
      </c>
      <c r="M6" s="3" t="n">
        <v>21</v>
      </c>
      <c r="N6" s="6">
        <f>I6</f>
        <v/>
      </c>
    </row>
    <row r="7">
      <c r="A7" s="7" t="n">
        <v>12359</v>
      </c>
      <c r="B7" s="8" t="inlineStr">
        <is>
          <t>Marcia cu</t>
        </is>
      </c>
      <c r="C7" s="7" t="inlineStr">
        <is>
          <t>Animal print, Cappuccino, Mint</t>
        </is>
      </c>
      <c r="D7" s="7" t="inlineStr">
        <is>
          <t>FBR-esl368</t>
        </is>
      </c>
      <c r="E7" s="7" t="inlineStr">
        <is>
          <t>36-40</t>
        </is>
      </c>
      <c r="F7" s="9" t="n">
        <v>6</v>
      </c>
      <c r="G7" s="10" t="n">
        <v>85</v>
      </c>
      <c r="H7" s="10" t="n">
        <v>340</v>
      </c>
      <c r="I7" s="10">
        <f>F7*G7</f>
        <v/>
      </c>
      <c r="J7" s="10">
        <f>F7*H7</f>
        <v/>
      </c>
      <c r="K7" s="10">
        <f>J7*M7/(100+M7)</f>
        <v/>
      </c>
      <c r="L7" s="10">
        <f>J7-I7-K7</f>
        <v/>
      </c>
      <c r="M7" s="7" t="n">
        <v>21</v>
      </c>
      <c r="N7" s="10">
        <f>I7</f>
        <v/>
      </c>
    </row>
    <row r="8">
      <c r="A8" s="3" t="n">
        <v>12360</v>
      </c>
      <c r="B8" s="4" t="inlineStr">
        <is>
          <t>Fiesta cu</t>
        </is>
      </c>
      <c r="C8" s="3" t="inlineStr">
        <is>
          <t>Animal print, Fistic, Marsala</t>
        </is>
      </c>
      <c r="D8" s="3" t="inlineStr">
        <is>
          <t>FBR-3633</t>
        </is>
      </c>
      <c r="E8" s="3" t="inlineStr">
        <is>
          <t>36-42</t>
        </is>
      </c>
      <c r="F8" s="5" t="n">
        <v>4</v>
      </c>
      <c r="G8" s="6" t="n">
        <v>85</v>
      </c>
      <c r="H8" s="6" t="n">
        <v>340</v>
      </c>
      <c r="I8" s="6">
        <f>F8*G8</f>
        <v/>
      </c>
      <c r="J8" s="6">
        <f>F8*H8</f>
        <v/>
      </c>
      <c r="K8" s="6">
        <f>J8*M8/(100+M8)</f>
        <v/>
      </c>
      <c r="L8" s="6">
        <f>J8-I8-K8</f>
        <v/>
      </c>
      <c r="M8" s="3" t="n">
        <v>21</v>
      </c>
      <c r="N8" s="6">
        <f>I8</f>
        <v/>
      </c>
    </row>
    <row r="9">
      <c r="A9" s="7" t="n">
        <v>12361</v>
      </c>
      <c r="B9" s="8" t="inlineStr">
        <is>
          <t>Patrizia kaki cu</t>
        </is>
      </c>
      <c r="C9" s="7" t="inlineStr">
        <is>
          <t>Animal print, Lavanda</t>
        </is>
      </c>
      <c r="D9" s="7" t="inlineStr">
        <is>
          <t>FBR-asldw42</t>
        </is>
      </c>
      <c r="E9" s="7" t="inlineStr">
        <is>
          <t>36-40</t>
        </is>
      </c>
      <c r="F9" s="9" t="n">
        <v>6</v>
      </c>
      <c r="G9" s="10" t="n">
        <v>71</v>
      </c>
      <c r="H9" s="10" t="n">
        <v>324</v>
      </c>
      <c r="I9" s="10">
        <f>F9*G9</f>
        <v/>
      </c>
      <c r="J9" s="10">
        <f>F9*H9</f>
        <v/>
      </c>
      <c r="K9" s="10">
        <f>J9*M9/(100+M9)</f>
        <v/>
      </c>
      <c r="L9" s="10">
        <f>J9-I9-K9</f>
        <v/>
      </c>
      <c r="M9" s="7" t="n">
        <v>21</v>
      </c>
      <c r="N9" s="10">
        <f>I9</f>
        <v/>
      </c>
    </row>
    <row r="10">
      <c r="A10" s="3" t="n">
        <v>12362</v>
      </c>
      <c r="B10" s="4" t="inlineStr">
        <is>
          <t>Leticia cu</t>
        </is>
      </c>
      <c r="C10" s="3" t="inlineStr">
        <is>
          <t>Fistic, Marsala</t>
        </is>
      </c>
      <c r="D10" s="3" t="inlineStr">
        <is>
          <t>FBR-3633</t>
        </is>
      </c>
      <c r="E10" s="3" t="inlineStr">
        <is>
          <t>36-42</t>
        </is>
      </c>
      <c r="F10" s="5" t="n">
        <v>3</v>
      </c>
      <c r="G10" s="6" t="n">
        <v>85</v>
      </c>
      <c r="H10" s="6" t="n">
        <v>340</v>
      </c>
      <c r="I10" s="6">
        <f>F10*G10</f>
        <v/>
      </c>
      <c r="J10" s="6">
        <f>F10*H10</f>
        <v/>
      </c>
      <c r="K10" s="6">
        <f>J10*M10/(100+M10)</f>
        <v/>
      </c>
      <c r="L10" s="6">
        <f>J10-I10-K10</f>
        <v/>
      </c>
      <c r="M10" s="3" t="n">
        <v>21</v>
      </c>
      <c r="N10" s="6">
        <f>I10</f>
        <v/>
      </c>
    </row>
    <row r="11">
      <c r="A11" s="7" t="n">
        <v>12363</v>
      </c>
      <c r="B11" s="8" t="inlineStr">
        <is>
          <t>Katinca cu imprimeu</t>
        </is>
      </c>
      <c r="C11" s="7" t="inlineStr">
        <is>
          <t>Animal print, Verde</t>
        </is>
      </c>
      <c r="D11" s="7" t="inlineStr">
        <is>
          <t>FBR-192089</t>
        </is>
      </c>
      <c r="E11" s="7" t="inlineStr">
        <is>
          <t>38-44</t>
        </is>
      </c>
      <c r="F11" s="9" t="n">
        <v>8</v>
      </c>
      <c r="G11" s="10" t="n">
        <v>98</v>
      </c>
      <c r="H11" s="10" t="n">
        <v>392</v>
      </c>
      <c r="I11" s="10">
        <f>F11*G11</f>
        <v/>
      </c>
      <c r="J11" s="10">
        <f>F11*H11</f>
        <v/>
      </c>
      <c r="K11" s="10">
        <f>J11*M11/(100+M11)</f>
        <v/>
      </c>
      <c r="L11" s="10">
        <f>J11-I11-K11</f>
        <v/>
      </c>
      <c r="M11" s="7" t="n">
        <v>21</v>
      </c>
      <c r="N11" s="10">
        <f>I11</f>
        <v/>
      </c>
    </row>
    <row r="12">
      <c r="A12" s="3" t="n">
        <v>12364</v>
      </c>
      <c r="B12" s="4" t="inlineStr">
        <is>
          <t>Patrizia caramizie cu</t>
        </is>
      </c>
      <c r="C12" s="3" t="inlineStr">
        <is>
          <t>Animal print, Kaki</t>
        </is>
      </c>
      <c r="D12" s="3" t="inlineStr">
        <is>
          <t>FBR-asldw42</t>
        </is>
      </c>
      <c r="E12" s="3" t="inlineStr">
        <is>
          <t>36-40</t>
        </is>
      </c>
      <c r="F12" s="5" t="n">
        <v>6</v>
      </c>
      <c r="G12" s="6" t="n">
        <v>71</v>
      </c>
      <c r="H12" s="6" t="n">
        <v>324</v>
      </c>
      <c r="I12" s="6">
        <f>F12*G12</f>
        <v/>
      </c>
      <c r="J12" s="6">
        <f>F12*H12</f>
        <v/>
      </c>
      <c r="K12" s="6">
        <f>J12*M12/(100+M12)</f>
        <v/>
      </c>
      <c r="L12" s="6">
        <f>J12-I12-K12</f>
        <v/>
      </c>
      <c r="M12" s="3" t="n">
        <v>21</v>
      </c>
      <c r="N12" s="6">
        <f>I12</f>
        <v/>
      </c>
    </row>
    <row r="13">
      <c r="A13" s="7" t="n">
        <v>12365</v>
      </c>
      <c r="B13" s="8" t="inlineStr">
        <is>
          <t>Katinca cu imprimeu</t>
        </is>
      </c>
      <c r="C13" s="7" t="inlineStr">
        <is>
          <t>Albastru</t>
        </is>
      </c>
      <c r="D13" s="7" t="inlineStr">
        <is>
          <t>FBR-192089</t>
        </is>
      </c>
      <c r="E13" s="7" t="inlineStr">
        <is>
          <t>38-44</t>
        </is>
      </c>
      <c r="F13" s="9" t="n">
        <v>8</v>
      </c>
      <c r="G13" s="10" t="n">
        <v>98</v>
      </c>
      <c r="H13" s="10" t="n">
        <v>392</v>
      </c>
      <c r="I13" s="10">
        <f>F13*G13</f>
        <v/>
      </c>
      <c r="J13" s="10">
        <f>F13*H13</f>
        <v/>
      </c>
      <c r="K13" s="10">
        <f>J13*M13/(100+M13)</f>
        <v/>
      </c>
      <c r="L13" s="10">
        <f>J13-I13-K13</f>
        <v/>
      </c>
      <c r="M13" s="7" t="n">
        <v>21</v>
      </c>
      <c r="N13" s="10">
        <f>I13</f>
        <v/>
      </c>
    </row>
    <row r="14">
      <c r="A14" s="3" t="n">
        <v>12366</v>
      </c>
      <c r="B14" s="4" t="inlineStr">
        <is>
          <t>Patrizia crem cu</t>
        </is>
      </c>
      <c r="C14" s="3" t="inlineStr">
        <is>
          <t>Kaki</t>
        </is>
      </c>
      <c r="D14" s="3" t="inlineStr">
        <is>
          <t>FBR-asldw42</t>
        </is>
      </c>
      <c r="E14" s="3" t="inlineStr">
        <is>
          <t>36-40</t>
        </is>
      </c>
      <c r="F14" s="5" t="n">
        <v>6</v>
      </c>
      <c r="G14" s="6" t="n">
        <v>71</v>
      </c>
      <c r="H14" s="6" t="n">
        <v>324</v>
      </c>
      <c r="I14" s="6">
        <f>F14*G14</f>
        <v/>
      </c>
      <c r="J14" s="6">
        <f>F14*H14</f>
        <v/>
      </c>
      <c r="K14" s="6">
        <f>J14*M14/(100+M14)</f>
        <v/>
      </c>
      <c r="L14" s="6">
        <f>J14-I14-K14</f>
        <v/>
      </c>
      <c r="M14" s="3" t="n">
        <v>21</v>
      </c>
      <c r="N14" s="6">
        <f>I14</f>
        <v/>
      </c>
    </row>
    <row r="15">
      <c r="A15" s="7" t="n">
        <v>12367</v>
      </c>
      <c r="B15" s="8" t="inlineStr">
        <is>
          <t>Ines</t>
        </is>
      </c>
      <c r="C15" s="7" t="inlineStr">
        <is>
          <t>Bordo</t>
        </is>
      </c>
      <c r="D15" s="7" t="inlineStr">
        <is>
          <t>FBR-3638</t>
        </is>
      </c>
      <c r="E15" s="7" t="inlineStr">
        <is>
          <t>36-42</t>
        </is>
      </c>
      <c r="F15" s="9" t="n">
        <v>8</v>
      </c>
      <c r="G15" s="10" t="n">
        <v>90</v>
      </c>
      <c r="H15" s="10" t="n">
        <v>439</v>
      </c>
      <c r="I15" s="10">
        <f>F15*G15</f>
        <v/>
      </c>
      <c r="J15" s="10">
        <f>F15*H15</f>
        <v/>
      </c>
      <c r="K15" s="10">
        <f>J15*M15/(100+M15)</f>
        <v/>
      </c>
      <c r="L15" s="10">
        <f>J15-I15-K15</f>
        <v/>
      </c>
      <c r="M15" s="7" t="n">
        <v>21</v>
      </c>
      <c r="N15" s="10">
        <f>I15</f>
        <v/>
      </c>
    </row>
    <row r="16">
      <c r="A16" s="3" t="n">
        <v>12368</v>
      </c>
      <c r="B16" s="4" t="inlineStr">
        <is>
          <t>Monique cu imprimeu</t>
        </is>
      </c>
      <c r="C16" s="3" t="inlineStr">
        <is>
          <t>Multicolor</t>
        </is>
      </c>
      <c r="D16" s="3" t="inlineStr">
        <is>
          <t>FBR-3795</t>
        </is>
      </c>
      <c r="E16" s="3" t="inlineStr">
        <is>
          <t>38-44</t>
        </is>
      </c>
      <c r="F16" s="5" t="n">
        <v>7</v>
      </c>
      <c r="G16" s="6" t="n">
        <v>85</v>
      </c>
      <c r="H16" s="6" t="n">
        <v>340</v>
      </c>
      <c r="I16" s="6">
        <f>F16*G16</f>
        <v/>
      </c>
      <c r="J16" s="6">
        <f>F16*H16</f>
        <v/>
      </c>
      <c r="K16" s="6">
        <f>J16*M16/(100+M16)</f>
        <v/>
      </c>
      <c r="L16" s="6">
        <f>J16-I16-K16</f>
        <v/>
      </c>
      <c r="M16" s="3" t="n">
        <v>21</v>
      </c>
      <c r="N16" s="6">
        <f>I16</f>
        <v/>
      </c>
    </row>
    <row r="17">
      <c r="A17" s="7" t="n">
        <v>12369</v>
      </c>
      <c r="B17" s="8" t="inlineStr">
        <is>
          <t>Izabela lungă elegantă multicoloră cu imprimeu</t>
        </is>
      </c>
      <c r="C17" s="7" t="inlineStr">
        <is>
          <t>Multicolor</t>
        </is>
      </c>
      <c r="D17" s="7" t="inlineStr">
        <is>
          <t>FBR-1825</t>
        </is>
      </c>
      <c r="E17" s="7" t="inlineStr">
        <is>
          <t>36-42</t>
        </is>
      </c>
      <c r="F17" s="9" t="n">
        <v>4</v>
      </c>
      <c r="G17" s="10" t="n">
        <v>89</v>
      </c>
      <c r="H17" s="10" t="n">
        <v>373.8</v>
      </c>
      <c r="I17" s="10">
        <f>F17*G17</f>
        <v/>
      </c>
      <c r="J17" s="10">
        <f>F17*H17</f>
        <v/>
      </c>
      <c r="K17" s="10">
        <f>J17*M17/(100+M17)</f>
        <v/>
      </c>
      <c r="L17" s="10">
        <f>J17-I17-K17</f>
        <v/>
      </c>
      <c r="M17" s="7" t="n">
        <v>21</v>
      </c>
      <c r="N17" s="10">
        <f>I17</f>
        <v/>
      </c>
    </row>
    <row r="18">
      <c r="A18" s="3" t="n">
        <v>12370</v>
      </c>
      <c r="B18" s="4" t="inlineStr">
        <is>
          <t>Vanessa</t>
        </is>
      </c>
      <c r="C18" s="3" t="inlineStr">
        <is>
          <t>plisata</t>
        </is>
      </c>
      <c r="D18" s="3" t="inlineStr">
        <is>
          <t>FBR-3466</t>
        </is>
      </c>
      <c r="E18" s="3" t="inlineStr">
        <is>
          <t>36-42</t>
        </is>
      </c>
      <c r="F18" s="5" t="n">
        <v>7</v>
      </c>
      <c r="G18" s="6" t="n">
        <v>69</v>
      </c>
      <c r="H18" s="6" t="n">
        <v>345</v>
      </c>
      <c r="I18" s="6">
        <f>F18*G18</f>
        <v/>
      </c>
      <c r="J18" s="6">
        <f>F18*H18</f>
        <v/>
      </c>
      <c r="K18" s="6">
        <f>J18*M18/(100+M18)</f>
        <v/>
      </c>
      <c r="L18" s="6">
        <f>J18-I18-K18</f>
        <v/>
      </c>
      <c r="M18" s="3" t="n">
        <v>21</v>
      </c>
      <c r="N18" s="6">
        <f>I18</f>
        <v/>
      </c>
    </row>
    <row r="19">
      <c r="A19" s="7" t="n">
        <v>12371</v>
      </c>
      <c r="B19" s="8" t="inlineStr">
        <is>
          <t>Stacy cu</t>
        </is>
      </c>
      <c r="C19" s="7" t="inlineStr">
        <is>
          <t>Multicolor</t>
        </is>
      </c>
      <c r="D19" s="7" t="inlineStr">
        <is>
          <t>FBR-w121</t>
        </is>
      </c>
      <c r="E19" s="7" t="inlineStr">
        <is>
          <t>36-40</t>
        </is>
      </c>
      <c r="F19" s="9" t="n">
        <v>6</v>
      </c>
      <c r="G19" s="10" t="n">
        <v>57</v>
      </c>
      <c r="H19" s="10" t="n">
        <v>370.5</v>
      </c>
      <c r="I19" s="10">
        <f>F19*G19</f>
        <v/>
      </c>
      <c r="J19" s="10">
        <f>F19*H19</f>
        <v/>
      </c>
      <c r="K19" s="10">
        <f>J19*M19/(100+M19)</f>
        <v/>
      </c>
      <c r="L19" s="10">
        <f>J19-I19-K19</f>
        <v/>
      </c>
      <c r="M19" s="7" t="n">
        <v>21</v>
      </c>
      <c r="N19" s="10">
        <f>I19</f>
        <v/>
      </c>
    </row>
    <row r="20">
      <c r="A20" s="3" t="n">
        <v>12372</v>
      </c>
      <c r="B20" s="4" t="inlineStr">
        <is>
          <t>Miriam</t>
        </is>
      </c>
      <c r="C20" s="3" t="inlineStr">
        <is>
          <t>Maro</t>
        </is>
      </c>
      <c r="D20" s="3" t="inlineStr">
        <is>
          <t>FBR-1810</t>
        </is>
      </c>
      <c r="E20" s="3" t="inlineStr">
        <is>
          <t>36-42</t>
        </is>
      </c>
      <c r="F20" s="5" t="n">
        <v>4</v>
      </c>
      <c r="G20" s="6" t="n">
        <v>91</v>
      </c>
      <c r="H20" s="6" t="n">
        <v>409.5</v>
      </c>
      <c r="I20" s="6">
        <f>F20*G20</f>
        <v/>
      </c>
      <c r="J20" s="6">
        <f>F20*H20</f>
        <v/>
      </c>
      <c r="K20" s="6">
        <f>J20*M20/(100+M20)</f>
        <v/>
      </c>
      <c r="L20" s="6">
        <f>J20-I20-K20</f>
        <v/>
      </c>
      <c r="M20" s="3" t="n">
        <v>21</v>
      </c>
      <c r="N20" s="6">
        <f>I20</f>
        <v/>
      </c>
    </row>
    <row r="21">
      <c r="A21" s="7" t="n">
        <v>12373</v>
      </c>
      <c r="B21" s="8" t="inlineStr">
        <is>
          <t>Ines</t>
        </is>
      </c>
      <c r="C21" s="7" t="inlineStr">
        <is>
          <t>Negru</t>
        </is>
      </c>
      <c r="D21" s="7" t="inlineStr">
        <is>
          <t>FBR-3638</t>
        </is>
      </c>
      <c r="E21" s="7" t="inlineStr">
        <is>
          <t>36-42</t>
        </is>
      </c>
      <c r="F21" s="9" t="n">
        <v>4</v>
      </c>
      <c r="G21" s="10" t="n">
        <v>90</v>
      </c>
      <c r="H21" s="10" t="n">
        <v>439</v>
      </c>
      <c r="I21" s="10">
        <f>F21*G21</f>
        <v/>
      </c>
      <c r="J21" s="10">
        <f>F21*H21</f>
        <v/>
      </c>
      <c r="K21" s="10">
        <f>J21*M21/(100+M21)</f>
        <v/>
      </c>
      <c r="L21" s="10">
        <f>J21-I21-K21</f>
        <v/>
      </c>
      <c r="M21" s="7" t="n">
        <v>21</v>
      </c>
      <c r="N21" s="10">
        <f>I21</f>
        <v/>
      </c>
    </row>
    <row r="22">
      <c r="A22" s="3" t="n">
        <v>12374</v>
      </c>
      <c r="B22" s="4" t="inlineStr">
        <is>
          <t>Ester cu</t>
        </is>
      </c>
      <c r="C22" s="3" t="inlineStr">
        <is>
          <t>Multicolor</t>
        </is>
      </c>
      <c r="D22" s="3" t="inlineStr">
        <is>
          <t>FBR-dw145</t>
        </is>
      </c>
      <c r="E22" s="3" t="inlineStr">
        <is>
          <t>36-40</t>
        </is>
      </c>
      <c r="F22" s="5" t="n">
        <v>3</v>
      </c>
      <c r="G22" s="6" t="n">
        <v>70</v>
      </c>
      <c r="H22" s="6" t="n">
        <v>385</v>
      </c>
      <c r="I22" s="6">
        <f>F22*G22</f>
        <v/>
      </c>
      <c r="J22" s="6">
        <f>F22*H22</f>
        <v/>
      </c>
      <c r="K22" s="6">
        <f>J22*M22/(100+M22)</f>
        <v/>
      </c>
      <c r="L22" s="6">
        <f>J22-I22-K22</f>
        <v/>
      </c>
      <c r="M22" s="3" t="n">
        <v>21</v>
      </c>
      <c r="N22" s="6">
        <f>I22</f>
        <v/>
      </c>
    </row>
    <row r="23">
      <c r="A23" s="7" t="n">
        <v>12375</v>
      </c>
      <c r="B23" s="8" t="inlineStr">
        <is>
          <t>Daisy</t>
        </is>
      </c>
      <c r="C23" s="7" t="inlineStr">
        <is>
          <t>Portocaliu</t>
        </is>
      </c>
      <c r="D23" s="7" t="inlineStr">
        <is>
          <t>FBR-5141</t>
        </is>
      </c>
      <c r="E23" s="7" t="inlineStr">
        <is>
          <t>36-42</t>
        </is>
      </c>
      <c r="F23" s="9" t="n">
        <v>3</v>
      </c>
      <c r="G23" s="10" t="n">
        <v>55</v>
      </c>
      <c r="H23" s="10" t="n">
        <v>325</v>
      </c>
      <c r="I23" s="10">
        <f>F23*G23</f>
        <v/>
      </c>
      <c r="J23" s="10">
        <f>F23*H23</f>
        <v/>
      </c>
      <c r="K23" s="10">
        <f>J23*M23/(100+M23)</f>
        <v/>
      </c>
      <c r="L23" s="10">
        <f>J23-I23-K23</f>
        <v/>
      </c>
      <c r="M23" s="7" t="n">
        <v>21</v>
      </c>
      <c r="N23" s="10">
        <f>I23</f>
        <v/>
      </c>
    </row>
    <row r="24">
      <c r="A24" s="3" t="n">
        <v>12376</v>
      </c>
      <c r="B24" s="4" t="inlineStr">
        <is>
          <t>Ines</t>
        </is>
      </c>
      <c r="C24" s="3" t="inlineStr">
        <is>
          <t>Crem</t>
        </is>
      </c>
      <c r="D24" s="3" t="inlineStr">
        <is>
          <t>FBR-3638</t>
        </is>
      </c>
      <c r="E24" s="3" t="inlineStr">
        <is>
          <t>36-42</t>
        </is>
      </c>
      <c r="F24" s="5" t="n">
        <v>4</v>
      </c>
      <c r="G24" s="6" t="n">
        <v>90</v>
      </c>
      <c r="H24" s="6" t="n">
        <v>439</v>
      </c>
      <c r="I24" s="6">
        <f>F24*G24</f>
        <v/>
      </c>
      <c r="J24" s="6">
        <f>F24*H24</f>
        <v/>
      </c>
      <c r="K24" s="6">
        <f>J24*M24/(100+M24)</f>
        <v/>
      </c>
      <c r="L24" s="6">
        <f>J24-I24-K24</f>
        <v/>
      </c>
      <c r="M24" s="3" t="n">
        <v>21</v>
      </c>
      <c r="N24" s="6">
        <f>I24</f>
        <v/>
      </c>
    </row>
    <row r="25">
      <c r="A25" s="7" t="n">
        <v>12377</v>
      </c>
      <c r="B25" s="8" t="inlineStr">
        <is>
          <t>Camila cu</t>
        </is>
      </c>
      <c r="C25" s="7" t="inlineStr">
        <is>
          <t>Multicolor</t>
        </is>
      </c>
      <c r="D25" s="7" t="inlineStr">
        <is>
          <t>FBR-58292</t>
        </is>
      </c>
      <c r="E25" s="7" t="inlineStr">
        <is>
          <t>42-48</t>
        </is>
      </c>
      <c r="F25" s="9" t="n">
        <v>4</v>
      </c>
      <c r="G25" s="10" t="n">
        <v>135</v>
      </c>
      <c r="H25" s="10" t="n">
        <v>540</v>
      </c>
      <c r="I25" s="10">
        <f>F25*G25</f>
        <v/>
      </c>
      <c r="J25" s="10">
        <f>F25*H25</f>
        <v/>
      </c>
      <c r="K25" s="10">
        <f>J25*M25/(100+M25)</f>
        <v/>
      </c>
      <c r="L25" s="10">
        <f>J25-I25-K25</f>
        <v/>
      </c>
      <c r="M25" s="7" t="n">
        <v>21</v>
      </c>
      <c r="N25" s="10">
        <f>I25</f>
        <v/>
      </c>
    </row>
    <row r="26">
      <c r="A26" s="3" t="n">
        <v>12378</v>
      </c>
      <c r="B26" s="4" t="inlineStr">
        <is>
          <t>Kendall</t>
        </is>
      </c>
      <c r="C26" s="3" t="inlineStr">
        <is>
          <t>Bordo</t>
        </is>
      </c>
      <c r="D26" s="3" t="inlineStr">
        <is>
          <t>FBR25272</t>
        </is>
      </c>
      <c r="E26" s="3" t="inlineStr">
        <is>
          <t>36-42</t>
        </is>
      </c>
      <c r="F26" s="5" t="n">
        <v>4</v>
      </c>
      <c r="G26" s="6" t="n">
        <v>119</v>
      </c>
      <c r="H26" s="6" t="n">
        <v>476</v>
      </c>
      <c r="I26" s="6">
        <f>F26*G26</f>
        <v/>
      </c>
      <c r="J26" s="6">
        <f>F26*H26</f>
        <v/>
      </c>
      <c r="K26" s="6">
        <f>J26*M26/(100+M26)</f>
        <v/>
      </c>
      <c r="L26" s="6">
        <f>J26-I26-K26</f>
        <v/>
      </c>
      <c r="M26" s="3" t="n">
        <v>21</v>
      </c>
      <c r="N26" s="6">
        <f>I26</f>
        <v/>
      </c>
    </row>
    <row r="27">
      <c r="A27" s="7" t="n">
        <v>12379</v>
      </c>
      <c r="B27" s="8" t="inlineStr">
        <is>
          <t>Taylor negru cu</t>
        </is>
      </c>
      <c r="C27" s="7" t="inlineStr">
        <is>
          <t>Negru</t>
        </is>
      </c>
      <c r="D27" s="7" t="inlineStr">
        <is>
          <t>FBR-25200</t>
        </is>
      </c>
      <c r="E27" s="7" t="inlineStr">
        <is>
          <t>36-42</t>
        </is>
      </c>
      <c r="F27" s="9" t="n">
        <v>6</v>
      </c>
      <c r="G27" s="10" t="n">
        <v>91</v>
      </c>
      <c r="H27" s="10" t="n">
        <v>435</v>
      </c>
      <c r="I27" s="10">
        <f>F27*G27</f>
        <v/>
      </c>
      <c r="J27" s="10">
        <f>F27*H27</f>
        <v/>
      </c>
      <c r="K27" s="10">
        <f>J27*M27/(100+M27)</f>
        <v/>
      </c>
      <c r="L27" s="10">
        <f>J27-I27-K27</f>
        <v/>
      </c>
      <c r="M27" s="7" t="n">
        <v>21</v>
      </c>
      <c r="N27" s="10">
        <f>I27</f>
        <v/>
      </c>
    </row>
    <row r="28">
      <c r="A28" s="3" t="n">
        <v>12380</v>
      </c>
      <c r="B28" s="4" t="inlineStr">
        <is>
          <t>Ines</t>
        </is>
      </c>
      <c r="C28" s="3" t="inlineStr">
        <is>
          <t>Crem</t>
        </is>
      </c>
      <c r="D28" s="3" t="inlineStr">
        <is>
          <t>FBR-3638</t>
        </is>
      </c>
      <c r="E28" s="3" t="inlineStr">
        <is>
          <t>36-42</t>
        </is>
      </c>
      <c r="F28" s="5" t="n">
        <v>4</v>
      </c>
      <c r="G28" s="6" t="n">
        <v>90</v>
      </c>
      <c r="H28" s="6" t="n">
        <v>439</v>
      </c>
      <c r="I28" s="6">
        <f>F28*G28</f>
        <v/>
      </c>
      <c r="J28" s="6">
        <f>F28*H28</f>
        <v/>
      </c>
      <c r="K28" s="6">
        <f>J28*M28/(100+M28)</f>
        <v/>
      </c>
      <c r="L28" s="6">
        <f>J28-I28-K28</f>
        <v/>
      </c>
      <c r="M28" s="3" t="n">
        <v>21</v>
      </c>
      <c r="N28" s="6">
        <f>I28</f>
        <v/>
      </c>
    </row>
    <row r="29">
      <c r="A29" s="7" t="n">
        <v>12381</v>
      </c>
      <c r="B29" s="8" t="inlineStr">
        <is>
          <t>Salopeta Aria</t>
        </is>
      </c>
      <c r="C29" s="7" t="inlineStr">
        <is>
          <t>Negru</t>
        </is>
      </c>
      <c r="D29" s="7" t="inlineStr">
        <is>
          <t>FBR-7067</t>
        </is>
      </c>
      <c r="E29" s="7" t="inlineStr">
        <is>
          <t>36-42</t>
        </is>
      </c>
      <c r="F29" s="9" t="n">
        <v>4</v>
      </c>
      <c r="G29" s="10" t="n">
        <v>57</v>
      </c>
      <c r="H29" s="10" t="n">
        <v>425</v>
      </c>
      <c r="I29" s="10">
        <f>F29*G29</f>
        <v/>
      </c>
      <c r="J29" s="10">
        <f>F29*H29</f>
        <v/>
      </c>
      <c r="K29" s="10">
        <f>J29*M29/(100+M29)</f>
        <v/>
      </c>
      <c r="L29" s="10">
        <f>J29-I29-K29</f>
        <v/>
      </c>
      <c r="M29" s="7" t="n">
        <v>21</v>
      </c>
      <c r="N29" s="10">
        <f>I29</f>
        <v/>
      </c>
    </row>
    <row r="30">
      <c r="A30" s="3" t="n">
        <v>12382</v>
      </c>
      <c r="B30" s="4" t="inlineStr">
        <is>
          <t>Amelia</t>
        </is>
      </c>
      <c r="C30" s="3" t="inlineStr">
        <is>
          <t>Ivoar</t>
        </is>
      </c>
      <c r="D30" s="3" t="inlineStr">
        <is>
          <t>FBR-8110</t>
        </is>
      </c>
      <c r="E30" s="3" t="inlineStr">
        <is>
          <t>36-42</t>
        </is>
      </c>
      <c r="F30" s="5" t="n">
        <v>4</v>
      </c>
      <c r="G30" s="6" t="n">
        <v>43</v>
      </c>
      <c r="H30" s="6" t="n">
        <v>389</v>
      </c>
      <c r="I30" s="6">
        <f>F30*G30</f>
        <v/>
      </c>
      <c r="J30" s="6">
        <f>F30*H30</f>
        <v/>
      </c>
      <c r="K30" s="6">
        <f>J30*M30/(100+M30)</f>
        <v/>
      </c>
      <c r="L30" s="6">
        <f>J30-I30-K30</f>
        <v/>
      </c>
      <c r="M30" s="3" t="n">
        <v>21</v>
      </c>
      <c r="N30" s="6">
        <f>I30</f>
        <v/>
      </c>
    </row>
    <row r="31">
      <c r="A31" s="7" t="n">
        <v>12383</v>
      </c>
      <c r="B31" s="8" t="inlineStr">
        <is>
          <t>Katinca cu imprimeu</t>
        </is>
      </c>
      <c r="C31" s="7" t="inlineStr">
        <is>
          <t>Bordo</t>
        </is>
      </c>
      <c r="D31" s="7" t="inlineStr">
        <is>
          <t>FBR-192089</t>
        </is>
      </c>
      <c r="E31" s="7" t="inlineStr">
        <is>
          <t>38-44</t>
        </is>
      </c>
      <c r="F31" s="9" t="n">
        <v>8</v>
      </c>
      <c r="G31" s="10" t="n">
        <v>98</v>
      </c>
      <c r="H31" s="10" t="n">
        <v>392</v>
      </c>
      <c r="I31" s="10">
        <f>F31*G31</f>
        <v/>
      </c>
      <c r="J31" s="10">
        <f>F31*H31</f>
        <v/>
      </c>
      <c r="K31" s="10">
        <f>J31*M31/(100+M31)</f>
        <v/>
      </c>
      <c r="L31" s="10">
        <f>J31-I31-K31</f>
        <v/>
      </c>
      <c r="M31" s="7" t="n">
        <v>21</v>
      </c>
      <c r="N31" s="10">
        <f>I31</f>
        <v/>
      </c>
    </row>
    <row r="32">
      <c r="A32" s="3" t="n">
        <v>12384</v>
      </c>
      <c r="B32" s="4" t="inlineStr">
        <is>
          <t>Aniko</t>
        </is>
      </c>
      <c r="C32" s="3" t="inlineStr">
        <is>
          <t>Bordo</t>
        </is>
      </c>
      <c r="D32" s="3" t="inlineStr">
        <is>
          <t>FBR-16214</t>
        </is>
      </c>
      <c r="E32" s="3" t="inlineStr">
        <is>
          <t>38-44</t>
        </is>
      </c>
      <c r="F32" s="5" t="n">
        <v>8</v>
      </c>
      <c r="G32" s="6" t="n">
        <v>79</v>
      </c>
      <c r="H32" s="6" t="n">
        <v>399</v>
      </c>
      <c r="I32" s="6">
        <f>F32*G32</f>
        <v/>
      </c>
      <c r="J32" s="6">
        <f>F32*H32</f>
        <v/>
      </c>
      <c r="K32" s="6">
        <f>J32*M32/(100+M32)</f>
        <v/>
      </c>
      <c r="L32" s="6">
        <f>J32-I32-K32</f>
        <v/>
      </c>
      <c r="M32" s="3" t="n">
        <v>21</v>
      </c>
      <c r="N32" s="6">
        <f>I32</f>
        <v/>
      </c>
    </row>
    <row r="33">
      <c r="A33" s="7" t="n">
        <v>12385</v>
      </c>
      <c r="B33" s="8" t="inlineStr">
        <is>
          <t>Briana cu imprimeu</t>
        </is>
      </c>
      <c r="C33" s="7" t="inlineStr">
        <is>
          <t>Maro</t>
        </is>
      </c>
      <c r="D33" s="7" t="inlineStr">
        <is>
          <t>FBR-dw148</t>
        </is>
      </c>
      <c r="E33" s="7" t="inlineStr">
        <is>
          <t>36-40</t>
        </is>
      </c>
      <c r="F33" s="9" t="n">
        <v>6</v>
      </c>
      <c r="G33" s="10" t="n">
        <v>127</v>
      </c>
      <c r="H33" s="10" t="n">
        <v>499</v>
      </c>
      <c r="I33" s="10">
        <f>F33*G33</f>
        <v/>
      </c>
      <c r="J33" s="10">
        <f>F33*H33</f>
        <v/>
      </c>
      <c r="K33" s="10">
        <f>J33*M33/(100+M33)</f>
        <v/>
      </c>
      <c r="L33" s="10">
        <f>J33-I33-K33</f>
        <v/>
      </c>
      <c r="M33" s="7" t="n">
        <v>21</v>
      </c>
      <c r="N33" s="10">
        <f>I33</f>
        <v/>
      </c>
    </row>
    <row r="34">
      <c r="A34" s="3" t="n">
        <v>12386</v>
      </c>
      <c r="B34" s="4" t="inlineStr">
        <is>
          <t>Briana cu imprimeu</t>
        </is>
      </c>
      <c r="C34" s="3" t="inlineStr">
        <is>
          <t>Multicolor</t>
        </is>
      </c>
      <c r="D34" s="3" t="inlineStr">
        <is>
          <t>FBR-dw148</t>
        </is>
      </c>
      <c r="E34" s="3" t="inlineStr">
        <is>
          <t>36-40</t>
        </is>
      </c>
      <c r="F34" s="5" t="n">
        <v>6</v>
      </c>
      <c r="G34" s="6" t="n">
        <v>127</v>
      </c>
      <c r="H34" s="6" t="n">
        <v>499</v>
      </c>
      <c r="I34" s="6">
        <f>F34*G34</f>
        <v/>
      </c>
      <c r="J34" s="6">
        <f>F34*H34</f>
        <v/>
      </c>
      <c r="K34" s="6">
        <f>J34*M34/(100+M34)</f>
        <v/>
      </c>
      <c r="L34" s="6">
        <f>J34-I34-K34</f>
        <v/>
      </c>
      <c r="M34" s="3" t="n">
        <v>21</v>
      </c>
      <c r="N34" s="6">
        <f>I34</f>
        <v/>
      </c>
    </row>
    <row r="35">
      <c r="A35" s="7" t="n">
        <v>12387</v>
      </c>
      <c r="B35" s="8" t="inlineStr">
        <is>
          <t>Verona</t>
        </is>
      </c>
      <c r="C35" s="7" t="inlineStr">
        <is>
          <t>Rosu</t>
        </is>
      </c>
      <c r="D35" s="7" t="inlineStr">
        <is>
          <t>FBR-1831</t>
        </is>
      </c>
      <c r="E35" s="7" t="inlineStr">
        <is>
          <t>36-42</t>
        </is>
      </c>
      <c r="F35" s="9" t="n">
        <v>8</v>
      </c>
      <c r="G35" s="10" t="n">
        <v>89</v>
      </c>
      <c r="H35" s="10" t="n">
        <v>356</v>
      </c>
      <c r="I35" s="10">
        <f>F35*G35</f>
        <v/>
      </c>
      <c r="J35" s="10">
        <f>F35*H35</f>
        <v/>
      </c>
      <c r="K35" s="10">
        <f>J35*M35/(100+M35)</f>
        <v/>
      </c>
      <c r="L35" s="10">
        <f>J35-I35-K35</f>
        <v/>
      </c>
      <c r="M35" s="7" t="n">
        <v>21</v>
      </c>
      <c r="N35" s="10">
        <f>I35</f>
        <v/>
      </c>
    </row>
    <row r="36">
      <c r="A36" s="3" t="n">
        <v>12388</v>
      </c>
      <c r="B36" s="4" t="inlineStr">
        <is>
          <t>Sofia</t>
        </is>
      </c>
      <c r="C36" s="3" t="inlineStr">
        <is>
          <t>Beige</t>
        </is>
      </c>
      <c r="D36" s="3" t="inlineStr">
        <is>
          <t>FBR-5118</t>
        </is>
      </c>
      <c r="E36" s="3" t="inlineStr">
        <is>
          <t>38-44</t>
        </is>
      </c>
      <c r="F36" s="5" t="n">
        <v>8</v>
      </c>
      <c r="G36" s="6" t="n">
        <v>45</v>
      </c>
      <c r="H36" s="6" t="n">
        <v>405</v>
      </c>
      <c r="I36" s="6">
        <f>F36*G36</f>
        <v/>
      </c>
      <c r="J36" s="6">
        <f>F36*H36</f>
        <v/>
      </c>
      <c r="K36" s="6">
        <f>J36*M36/(100+M36)</f>
        <v/>
      </c>
      <c r="L36" s="6">
        <f>J36-I36-K36</f>
        <v/>
      </c>
      <c r="M36" s="3" t="n">
        <v>21</v>
      </c>
      <c r="N36" s="6">
        <f>I36</f>
        <v/>
      </c>
    </row>
    <row r="37">
      <c r="A37" s="7" t="n">
        <v>12390</v>
      </c>
      <c r="B37" s="8" t="inlineStr">
        <is>
          <t>Briana cu imprimeu</t>
        </is>
      </c>
      <c r="C37" s="7" t="inlineStr">
        <is>
          <t>Maro</t>
        </is>
      </c>
      <c r="D37" s="7" t="inlineStr">
        <is>
          <t>FBR-dw148</t>
        </is>
      </c>
      <c r="E37" s="7" t="inlineStr">
        <is>
          <t>36-40</t>
        </is>
      </c>
      <c r="F37" s="9" t="n">
        <v>6</v>
      </c>
      <c r="G37" s="10" t="n">
        <v>127</v>
      </c>
      <c r="H37" s="10" t="n">
        <v>499</v>
      </c>
      <c r="I37" s="10">
        <f>F37*G37</f>
        <v/>
      </c>
      <c r="J37" s="10">
        <f>F37*H37</f>
        <v/>
      </c>
      <c r="K37" s="10">
        <f>J37*M37/(100+M37)</f>
        <v/>
      </c>
      <c r="L37" s="10">
        <f>J37-I37-K37</f>
        <v/>
      </c>
      <c r="M37" s="7" t="n">
        <v>21</v>
      </c>
      <c r="N37" s="10">
        <f>I37</f>
        <v/>
      </c>
    </row>
    <row r="38">
      <c r="A38" s="3" t="n">
        <v>12391</v>
      </c>
      <c r="B38" s="4" t="inlineStr">
        <is>
          <t>Nicola</t>
        </is>
      </c>
      <c r="C38" s="3" t="inlineStr">
        <is>
          <t>Negru</t>
        </is>
      </c>
      <c r="D38" s="3" t="inlineStr">
        <is>
          <t>FBR-58353</t>
        </is>
      </c>
      <c r="E38" s="3" t="inlineStr">
        <is>
          <t>36-42</t>
        </is>
      </c>
      <c r="F38" s="5" t="n">
        <v>4</v>
      </c>
      <c r="G38" s="6" t="n">
        <v>140</v>
      </c>
      <c r="H38" s="6" t="n">
        <v>489</v>
      </c>
      <c r="I38" s="6">
        <f>F38*G38</f>
        <v/>
      </c>
      <c r="J38" s="6">
        <f>F38*H38</f>
        <v/>
      </c>
      <c r="K38" s="6">
        <f>J38*M38/(100+M38)</f>
        <v/>
      </c>
      <c r="L38" s="6">
        <f>J38-I38-K38</f>
        <v/>
      </c>
      <c r="M38" s="3" t="n">
        <v>21</v>
      </c>
      <c r="N38" s="6">
        <f>I38</f>
        <v/>
      </c>
    </row>
    <row r="39">
      <c r="A39" s="7" t="n">
        <v>12392</v>
      </c>
      <c r="B39" s="8" t="inlineStr">
        <is>
          <t>Scarlet</t>
        </is>
      </c>
      <c r="C39" s="7" t="inlineStr">
        <is>
          <t>Rosu</t>
        </is>
      </c>
      <c r="D39" s="7" t="inlineStr">
        <is>
          <t>FBR-3611</t>
        </is>
      </c>
      <c r="E39" s="7" t="inlineStr">
        <is>
          <t>36-42</t>
        </is>
      </c>
      <c r="F39" s="9" t="n">
        <v>4</v>
      </c>
      <c r="G39" s="10" t="n">
        <v>98</v>
      </c>
      <c r="H39" s="10" t="n">
        <v>435</v>
      </c>
      <c r="I39" s="10">
        <f>F39*G39</f>
        <v/>
      </c>
      <c r="J39" s="10">
        <f>F39*H39</f>
        <v/>
      </c>
      <c r="K39" s="10">
        <f>J39*M39/(100+M39)</f>
        <v/>
      </c>
      <c r="L39" s="10">
        <f>J39-I39-K39</f>
        <v/>
      </c>
      <c r="M39" s="7" t="n">
        <v>21</v>
      </c>
      <c r="N39" s="10">
        <f>I39</f>
        <v/>
      </c>
    </row>
    <row r="40">
      <c r="A40" s="3" t="n">
        <v>12393</v>
      </c>
      <c r="B40" s="4" t="inlineStr">
        <is>
          <t>lunga Luna</t>
        </is>
      </c>
      <c r="C40" s="3" t="inlineStr">
        <is>
          <t>Verde</t>
        </is>
      </c>
      <c r="D40" s="3" t="inlineStr">
        <is>
          <t>FBR-4776</t>
        </is>
      </c>
      <c r="E40" s="3" t="inlineStr">
        <is>
          <t>38-42</t>
        </is>
      </c>
      <c r="F40" s="5" t="n">
        <v>3</v>
      </c>
      <c r="G40" s="6" t="n">
        <v>98</v>
      </c>
      <c r="H40" s="6" t="n">
        <v>684</v>
      </c>
      <c r="I40" s="6">
        <f>F40*G40</f>
        <v/>
      </c>
      <c r="J40" s="6">
        <f>F40*H40</f>
        <v/>
      </c>
      <c r="K40" s="6">
        <f>J40*M40/(100+M40)</f>
        <v/>
      </c>
      <c r="L40" s="6">
        <f>J40-I40-K40</f>
        <v/>
      </c>
      <c r="M40" s="3" t="n">
        <v>21</v>
      </c>
      <c r="N40" s="6">
        <f>I40</f>
        <v/>
      </c>
    </row>
    <row r="41">
      <c r="A41" s="7" t="n">
        <v>12394</v>
      </c>
      <c r="B41" s="8" t="inlineStr">
        <is>
          <t>lunga Chantal</t>
        </is>
      </c>
      <c r="C41" s="7" t="inlineStr">
        <is>
          <t>Verde</t>
        </is>
      </c>
      <c r="D41" s="7" t="inlineStr">
        <is>
          <t>FBR-5099</t>
        </is>
      </c>
      <c r="E41" s="7" t="inlineStr">
        <is>
          <t>36-42</t>
        </is>
      </c>
      <c r="F41" s="9" t="n">
        <v>8</v>
      </c>
      <c r="G41" s="10" t="n">
        <v>115</v>
      </c>
      <c r="H41" s="10" t="n">
        <v>690</v>
      </c>
      <c r="I41" s="10">
        <f>F41*G41</f>
        <v/>
      </c>
      <c r="J41" s="10">
        <f>F41*H41</f>
        <v/>
      </c>
      <c r="K41" s="10">
        <f>J41*M41/(100+M41)</f>
        <v/>
      </c>
      <c r="L41" s="10">
        <f>J41-I41-K41</f>
        <v/>
      </c>
      <c r="M41" s="7" t="n">
        <v>21</v>
      </c>
      <c r="N41" s="10">
        <f>I41</f>
        <v/>
      </c>
    </row>
    <row r="42">
      <c r="A42" s="3" t="n">
        <v>12395</v>
      </c>
      <c r="B42" s="4" t="inlineStr">
        <is>
          <t>Anisa cu</t>
        </is>
      </c>
      <c r="C42" s="3" t="inlineStr">
        <is>
          <t>Multicolor</t>
        </is>
      </c>
      <c r="D42" s="3" t="inlineStr">
        <is>
          <t>FBR-1812</t>
        </is>
      </c>
      <c r="E42" s="3" t="inlineStr">
        <is>
          <t>36-42</t>
        </is>
      </c>
      <c r="F42" s="5" t="n">
        <v>3</v>
      </c>
      <c r="G42" s="6" t="n">
        <v>91</v>
      </c>
      <c r="H42" s="6" t="n">
        <v>446</v>
      </c>
      <c r="I42" s="6">
        <f>F42*G42</f>
        <v/>
      </c>
      <c r="J42" s="6">
        <f>F42*H42</f>
        <v/>
      </c>
      <c r="K42" s="6">
        <f>J42*M42/(100+M42)</f>
        <v/>
      </c>
      <c r="L42" s="6">
        <f>J42-I42-K42</f>
        <v/>
      </c>
      <c r="M42" s="3" t="n">
        <v>21</v>
      </c>
      <c r="N42" s="6">
        <f>I42</f>
        <v/>
      </c>
    </row>
    <row r="43">
      <c r="A43" s="7" t="n">
        <v>12396</v>
      </c>
      <c r="B43" s="8" t="inlineStr">
        <is>
          <t>lunga Amber verde din</t>
        </is>
      </c>
      <c r="C43" s="7" t="inlineStr">
        <is>
          <t>Verde</t>
        </is>
      </c>
      <c r="D43" s="7" t="inlineStr">
        <is>
          <t>FBR-1073</t>
        </is>
      </c>
      <c r="E43" s="7" t="inlineStr">
        <is>
          <t>38-42</t>
        </is>
      </c>
      <c r="F43" s="9" t="n">
        <v>3</v>
      </c>
      <c r="G43" s="10" t="n">
        <v>129</v>
      </c>
      <c r="H43" s="10" t="n">
        <v>845</v>
      </c>
      <c r="I43" s="10">
        <f>F43*G43</f>
        <v/>
      </c>
      <c r="J43" s="10">
        <f>F43*H43</f>
        <v/>
      </c>
      <c r="K43" s="10">
        <f>J43*M43/(100+M43)</f>
        <v/>
      </c>
      <c r="L43" s="10">
        <f>J43-I43-K43</f>
        <v/>
      </c>
      <c r="M43" s="7" t="n">
        <v>21</v>
      </c>
      <c r="N43" s="10">
        <f>I43</f>
        <v/>
      </c>
    </row>
    <row r="44">
      <c r="A44" s="3" t="n">
        <v>12397</v>
      </c>
      <c r="B44" s="4" t="inlineStr">
        <is>
          <t>Salopeta Mara neagra</t>
        </is>
      </c>
      <c r="C44" s="3" t="inlineStr">
        <is>
          <t>Fistic, Negru</t>
        </is>
      </c>
      <c r="D44" s="3" t="inlineStr">
        <is>
          <t>FBR-72498</t>
        </is>
      </c>
      <c r="E44" s="3" t="inlineStr">
        <is>
          <t>36-42</t>
        </is>
      </c>
      <c r="F44" s="5" t="n">
        <v>3</v>
      </c>
      <c r="G44" s="6" t="n">
        <v>226</v>
      </c>
      <c r="H44" s="6" t="n">
        <v>678</v>
      </c>
      <c r="I44" s="6">
        <f>F44*G44</f>
        <v/>
      </c>
      <c r="J44" s="6">
        <f>F44*H44</f>
        <v/>
      </c>
      <c r="K44" s="6">
        <f>J44*M44/(100+M44)</f>
        <v/>
      </c>
      <c r="L44" s="6">
        <f>J44-I44-K44</f>
        <v/>
      </c>
      <c r="M44" s="3" t="n">
        <v>21</v>
      </c>
      <c r="N44" s="6">
        <f>I44</f>
        <v/>
      </c>
    </row>
    <row r="45">
      <c r="A45" s="7" t="n">
        <v>12398</v>
      </c>
      <c r="B45" s="8" t="inlineStr">
        <is>
          <t>lunga Sellina albastru</t>
        </is>
      </c>
      <c r="C45" s="7" t="inlineStr">
        <is>
          <t>Albastru petrol</t>
        </is>
      </c>
      <c r="D45" s="7" t="inlineStr">
        <is>
          <t>FBR-6082</t>
        </is>
      </c>
      <c r="E45" s="7" t="inlineStr">
        <is>
          <t>44-48</t>
        </is>
      </c>
      <c r="F45" s="9" t="n">
        <v>3</v>
      </c>
      <c r="G45" s="10" t="n">
        <v>152</v>
      </c>
      <c r="H45" s="10" t="n">
        <v>745</v>
      </c>
      <c r="I45" s="10">
        <f>F45*G45</f>
        <v/>
      </c>
      <c r="J45" s="10">
        <f>F45*H45</f>
        <v/>
      </c>
      <c r="K45" s="10">
        <f>J45*M45/(100+M45)</f>
        <v/>
      </c>
      <c r="L45" s="10">
        <f>J45-I45-K45</f>
        <v/>
      </c>
      <c r="M45" s="7" t="n">
        <v>21</v>
      </c>
      <c r="N45" s="10">
        <f>I45</f>
        <v/>
      </c>
    </row>
    <row r="46">
      <c r="A46" s="3" t="n">
        <v>12399</v>
      </c>
      <c r="B46" s="4" t="inlineStr">
        <is>
          <t>lunga Amber bordo din</t>
        </is>
      </c>
      <c r="C46" s="3" t="inlineStr">
        <is>
          <t>Bordo</t>
        </is>
      </c>
      <c r="D46" s="3" t="inlineStr">
        <is>
          <t>FBR-1073</t>
        </is>
      </c>
      <c r="E46" s="3" t="inlineStr">
        <is>
          <t>38-42</t>
        </is>
      </c>
      <c r="F46" s="5" t="n">
        <v>3</v>
      </c>
      <c r="G46" s="6" t="n">
        <v>129</v>
      </c>
      <c r="H46" s="6" t="n">
        <v>845</v>
      </c>
      <c r="I46" s="6">
        <f>F46*G46</f>
        <v/>
      </c>
      <c r="J46" s="6">
        <f>F46*H46</f>
        <v/>
      </c>
      <c r="K46" s="6">
        <f>J46*M46/(100+M46)</f>
        <v/>
      </c>
      <c r="L46" s="6">
        <f>J46-I46-K46</f>
        <v/>
      </c>
      <c r="M46" s="3" t="n">
        <v>21</v>
      </c>
      <c r="N46" s="6">
        <f>I46</f>
        <v/>
      </c>
    </row>
    <row r="47">
      <c r="A47" s="7" t="n">
        <v>12400</v>
      </c>
      <c r="B47" s="8" t="inlineStr">
        <is>
          <t>Salopeta Nicola fucsia</t>
        </is>
      </c>
      <c r="C47" s="7" t="inlineStr">
        <is>
          <t>Fucsia, Gri metalizat, Roz</t>
        </is>
      </c>
      <c r="D47" s="7" t="inlineStr">
        <is>
          <t>FBR-6350</t>
        </is>
      </c>
      <c r="E47" s="7" t="inlineStr">
        <is>
          <t>38-44</t>
        </is>
      </c>
      <c r="F47" s="9" t="n">
        <v>4</v>
      </c>
      <c r="G47" s="10" t="n">
        <v>159</v>
      </c>
      <c r="H47" s="10" t="n">
        <v>829</v>
      </c>
      <c r="I47" s="10">
        <f>F47*G47</f>
        <v/>
      </c>
      <c r="J47" s="10">
        <f>F47*H47</f>
        <v/>
      </c>
      <c r="K47" s="10">
        <f>J47*M47/(100+M47)</f>
        <v/>
      </c>
      <c r="L47" s="10">
        <f>J47-I47-K47</f>
        <v/>
      </c>
      <c r="M47" s="7" t="n">
        <v>21</v>
      </c>
      <c r="N47" s="10">
        <f>I47</f>
        <v/>
      </c>
    </row>
    <row r="48">
      <c r="A48" s="3" t="n">
        <v>12401</v>
      </c>
      <c r="B48" s="4" t="inlineStr">
        <is>
          <t>Lungă Elegantă Fucsia Plisată Tip Corset pentru Evenimente Speciale –</t>
        </is>
      </c>
      <c r="C48" s="3" t="inlineStr">
        <is>
          <t>Fucsia</t>
        </is>
      </c>
      <c r="D48" s="3" t="inlineStr">
        <is>
          <t>FBR-6343</t>
        </is>
      </c>
      <c r="E48" s="3" t="inlineStr">
        <is>
          <t>38-44</t>
        </is>
      </c>
      <c r="F48" s="5" t="n">
        <v>4</v>
      </c>
      <c r="G48" s="6" t="n">
        <v>185</v>
      </c>
      <c r="H48" s="6" t="n">
        <v>740</v>
      </c>
      <c r="I48" s="6">
        <f>F48*G48</f>
        <v/>
      </c>
      <c r="J48" s="6">
        <f>F48*H48</f>
        <v/>
      </c>
      <c r="K48" s="6">
        <f>J48*M48/(100+M48)</f>
        <v/>
      </c>
      <c r="L48" s="6">
        <f>J48-I48-K48</f>
        <v/>
      </c>
      <c r="M48" s="3" t="n">
        <v>21</v>
      </c>
      <c r="N48" s="6">
        <f>I48</f>
        <v/>
      </c>
    </row>
    <row r="49">
      <c r="A49" s="7" t="n">
        <v>12402</v>
      </c>
      <c r="B49" s="8" t="inlineStr">
        <is>
          <t>Alessia Bleu Midi cu Drapaj Arhitectural și Crapeu</t>
        </is>
      </c>
      <c r="C49" s="7" t="inlineStr">
        <is>
          <t>Bleu</t>
        </is>
      </c>
      <c r="D49" s="7" t="inlineStr">
        <is>
          <t>FBR-7344</t>
        </is>
      </c>
      <c r="E49" s="7" t="inlineStr">
        <is>
          <t>38-44</t>
        </is>
      </c>
      <c r="F49" s="9" t="n">
        <v>4</v>
      </c>
      <c r="G49" s="10" t="n">
        <v>162</v>
      </c>
      <c r="H49" s="10" t="n">
        <v>648</v>
      </c>
      <c r="I49" s="10">
        <f>F49*G49</f>
        <v/>
      </c>
      <c r="J49" s="10">
        <f>F49*H49</f>
        <v/>
      </c>
      <c r="K49" s="10">
        <f>J49*M49/(100+M49)</f>
        <v/>
      </c>
      <c r="L49" s="10">
        <f>J49-I49-K49</f>
        <v/>
      </c>
      <c r="M49" s="7" t="n">
        <v>21</v>
      </c>
      <c r="N49" s="10">
        <f>I49</f>
        <v/>
      </c>
    </row>
    <row r="50">
      <c r="A50" s="3" t="n">
        <v>12403</v>
      </c>
      <c r="B50" s="4" t="inlineStr">
        <is>
          <t>lungă Queen elegantă roz plisată cu corset</t>
        </is>
      </c>
      <c r="C50" s="3" t="inlineStr">
        <is>
          <t>Roz</t>
        </is>
      </c>
      <c r="D50" s="3" t="inlineStr">
        <is>
          <t>FBR-6343</t>
        </is>
      </c>
      <c r="E50" s="3" t="inlineStr">
        <is>
          <t>38-44</t>
        </is>
      </c>
      <c r="F50" s="5" t="n">
        <v>4</v>
      </c>
      <c r="G50" s="6" t="n">
        <v>185</v>
      </c>
      <c r="H50" s="6" t="n">
        <v>740</v>
      </c>
      <c r="I50" s="6">
        <f>F50*G50</f>
        <v/>
      </c>
      <c r="J50" s="6">
        <f>F50*H50</f>
        <v/>
      </c>
      <c r="K50" s="6">
        <f>J50*M50/(100+M50)</f>
        <v/>
      </c>
      <c r="L50" s="6">
        <f>J50-I50-K50</f>
        <v/>
      </c>
      <c r="M50" s="3" t="n">
        <v>21</v>
      </c>
      <c r="N50" s="6">
        <f>I50</f>
        <v/>
      </c>
    </row>
    <row r="51">
      <c r="A51" s="7" t="n">
        <v>12404</v>
      </c>
      <c r="B51" s="8" t="inlineStr">
        <is>
          <t>lungă elegantă neagra din tull cu aplicații florale –</t>
        </is>
      </c>
      <c r="C51" s="7" t="inlineStr">
        <is>
          <t>Bleumarin</t>
        </is>
      </c>
      <c r="D51" s="7" t="inlineStr">
        <is>
          <t>FBR-7035</t>
        </is>
      </c>
      <c r="E51" s="7" t="inlineStr">
        <is>
          <t>38-44</t>
        </is>
      </c>
      <c r="F51" s="9" t="n">
        <v>8</v>
      </c>
      <c r="G51" s="10" t="n">
        <v>102</v>
      </c>
      <c r="H51" s="10" t="n">
        <v>725</v>
      </c>
      <c r="I51" s="10">
        <f>F51*G51</f>
        <v/>
      </c>
      <c r="J51" s="10">
        <f>F51*H51</f>
        <v/>
      </c>
      <c r="K51" s="10">
        <f>J51*M51/(100+M51)</f>
        <v/>
      </c>
      <c r="L51" s="10">
        <f>J51-I51-K51</f>
        <v/>
      </c>
      <c r="M51" s="7" t="n">
        <v>21</v>
      </c>
      <c r="N51" s="10">
        <f>I51</f>
        <v/>
      </c>
    </row>
    <row r="52">
      <c r="A52" s="3" t="n">
        <v>12405</v>
      </c>
      <c r="B52" s="4" t="inlineStr">
        <is>
          <t>Lungă Roșie Elegantă pentru Gală și Evenimente Speciale cu Bustieră Tip Corset –</t>
        </is>
      </c>
      <c r="C52" s="3" t="inlineStr">
        <is>
          <t>Rosu</t>
        </is>
      </c>
      <c r="D52" s="3" t="inlineStr">
        <is>
          <t>FBR-1216</t>
        </is>
      </c>
      <c r="E52" s="3" t="inlineStr">
        <is>
          <t>38-42</t>
        </is>
      </c>
      <c r="F52" s="5" t="n">
        <v>3</v>
      </c>
      <c r="G52" s="6" t="n">
        <v>129</v>
      </c>
      <c r="H52" s="6" t="n">
        <v>745</v>
      </c>
      <c r="I52" s="6">
        <f>F52*G52</f>
        <v/>
      </c>
      <c r="J52" s="6">
        <f>F52*H52</f>
        <v/>
      </c>
      <c r="K52" s="6">
        <f>J52*M52/(100+M52)</f>
        <v/>
      </c>
      <c r="L52" s="6">
        <f>J52-I52-K52</f>
        <v/>
      </c>
      <c r="M52" s="3" t="n">
        <v>21</v>
      </c>
      <c r="N52" s="6">
        <f>I52</f>
        <v/>
      </c>
    </row>
    <row r="53">
      <c r="A53" s="7" t="n">
        <v>12406</v>
      </c>
      <c r="B53" s="8" t="inlineStr">
        <is>
          <t>lungă Tessa albastru deschis din tull strălucitor cu umeri căzuți și floare decorativă în</t>
        </is>
      </c>
      <c r="C53" s="7" t="inlineStr">
        <is>
          <t>Albastru deschis</t>
        </is>
      </c>
      <c r="D53" s="7" t="inlineStr">
        <is>
          <t>FBR-4512</t>
        </is>
      </c>
      <c r="E53" s="7" t="inlineStr">
        <is>
          <t>38-42</t>
        </is>
      </c>
      <c r="F53" s="9" t="n">
        <v>3</v>
      </c>
      <c r="G53" s="10" t="n">
        <v>155</v>
      </c>
      <c r="H53" s="10" t="n">
        <v>775</v>
      </c>
      <c r="I53" s="10">
        <f>F53*G53</f>
        <v/>
      </c>
      <c r="J53" s="10">
        <f>F53*H53</f>
        <v/>
      </c>
      <c r="K53" s="10">
        <f>J53*M53/(100+M53)</f>
        <v/>
      </c>
      <c r="L53" s="10">
        <f>J53-I53-K53</f>
        <v/>
      </c>
      <c r="M53" s="7" t="n">
        <v>21</v>
      </c>
      <c r="N53" s="10">
        <f>I53</f>
        <v/>
      </c>
    </row>
    <row r="54">
      <c r="A54" s="3" t="n">
        <v>12407</v>
      </c>
      <c r="B54" s="4" t="inlineStr">
        <is>
          <t>lungă Kira roz prăfuit din Tulle cu aplicații</t>
        </is>
      </c>
      <c r="C54" s="3" t="inlineStr">
        <is>
          <t>Roz prafuit</t>
        </is>
      </c>
      <c r="D54" s="3" t="inlineStr">
        <is>
          <t>FBR-1226</t>
        </is>
      </c>
      <c r="E54" s="3" t="inlineStr">
        <is>
          <t>38-42</t>
        </is>
      </c>
      <c r="F54" s="5" t="n">
        <v>3</v>
      </c>
      <c r="G54" s="6" t="n">
        <v>129</v>
      </c>
      <c r="H54" s="6" t="n">
        <v>745</v>
      </c>
      <c r="I54" s="6">
        <f>F54*G54</f>
        <v/>
      </c>
      <c r="J54" s="6">
        <f>F54*H54</f>
        <v/>
      </c>
      <c r="K54" s="6">
        <f>J54*M54/(100+M54)</f>
        <v/>
      </c>
      <c r="L54" s="6">
        <f>J54-I54-K54</f>
        <v/>
      </c>
      <c r="M54" s="3" t="n">
        <v>21</v>
      </c>
      <c r="N54" s="6">
        <f>I54</f>
        <v/>
      </c>
    </row>
    <row r="55">
      <c r="A55" s="7" t="n">
        <v>12408</v>
      </c>
      <c r="B55" s="8" t="inlineStr">
        <is>
          <t>lungă elegantă alba plisată tip corset pentru evenimente speciale –</t>
        </is>
      </c>
      <c r="C55" s="7" t="inlineStr">
        <is>
          <t>Alb</t>
        </is>
      </c>
      <c r="D55" s="7" t="inlineStr">
        <is>
          <t>FBR-6343</t>
        </is>
      </c>
      <c r="E55" s="7" t="inlineStr">
        <is>
          <t>38-44</t>
        </is>
      </c>
      <c r="F55" s="9" t="n">
        <v>8</v>
      </c>
      <c r="G55" s="10" t="n">
        <v>185</v>
      </c>
      <c r="H55" s="10" t="n">
        <v>740</v>
      </c>
      <c r="I55" s="10">
        <f>F55*G55</f>
        <v/>
      </c>
      <c r="J55" s="10">
        <f>F55*H55</f>
        <v/>
      </c>
      <c r="K55" s="10">
        <f>J55*M55/(100+M55)</f>
        <v/>
      </c>
      <c r="L55" s="10">
        <f>J55-I55-K55</f>
        <v/>
      </c>
      <c r="M55" s="7" t="n">
        <v>21</v>
      </c>
      <c r="N55" s="10">
        <f>I55</f>
        <v/>
      </c>
    </row>
    <row r="56">
      <c r="A56" s="3" t="n">
        <v>12409</v>
      </c>
      <c r="B56" s="4" t="inlineStr">
        <is>
          <t>lunga albastru Franca cu un umar, plisata, cu aplicatie decorativa si slit lateral</t>
        </is>
      </c>
      <c r="C56" s="3" t="inlineStr">
        <is>
          <t>Albastru</t>
        </is>
      </c>
      <c r="D56" s="3" t="inlineStr">
        <is>
          <t>FBR-6292</t>
        </is>
      </c>
      <c r="E56" s="3" t="inlineStr">
        <is>
          <t>38-44</t>
        </is>
      </c>
      <c r="F56" s="5" t="n">
        <v>4</v>
      </c>
      <c r="G56" s="6" t="n">
        <v>162</v>
      </c>
      <c r="H56" s="6" t="n">
        <v>648</v>
      </c>
      <c r="I56" s="6">
        <f>F56*G56</f>
        <v/>
      </c>
      <c r="J56" s="6">
        <f>F56*H56</f>
        <v/>
      </c>
      <c r="K56" s="6">
        <f>J56*M56/(100+M56)</f>
        <v/>
      </c>
      <c r="L56" s="6">
        <f>J56-I56-K56</f>
        <v/>
      </c>
      <c r="M56" s="3" t="n">
        <v>21</v>
      </c>
      <c r="N56" s="6">
        <f>I56</f>
        <v/>
      </c>
    </row>
    <row r="57">
      <c r="A57" s="7" t="n">
        <v>12410</v>
      </c>
      <c r="B57" s="8" t="inlineStr">
        <is>
          <t>lunga Ozana alba eleganta cu decolteu inima si aplicatii florale pe umeri pentru evenimente</t>
        </is>
      </c>
      <c r="C57" s="7" t="inlineStr">
        <is>
          <t>Alb</t>
        </is>
      </c>
      <c r="D57" s="7" t="inlineStr">
        <is>
          <t>FBR-1837</t>
        </is>
      </c>
      <c r="E57" s="7" t="inlineStr">
        <is>
          <t>38-42</t>
        </is>
      </c>
      <c r="F57" s="9" t="n">
        <v>2</v>
      </c>
      <c r="G57" s="10" t="n">
        <v>242</v>
      </c>
      <c r="H57" s="10" t="n">
        <v>726</v>
      </c>
      <c r="I57" s="10">
        <f>F57*G57</f>
        <v/>
      </c>
      <c r="J57" s="10">
        <f>F57*H57</f>
        <v/>
      </c>
      <c r="K57" s="10">
        <f>J57*M57/(100+M57)</f>
        <v/>
      </c>
      <c r="L57" s="10">
        <f>J57-I57-K57</f>
        <v/>
      </c>
      <c r="M57" s="7" t="n">
        <v>21</v>
      </c>
      <c r="N57" s="10">
        <f>I57</f>
        <v/>
      </c>
    </row>
    <row r="58">
      <c r="A58" s="3" t="n">
        <v>12411</v>
      </c>
      <c r="B58" s="4" t="inlineStr">
        <is>
          <t>lungă Joy multicoloră cu bustieră corset și fustă amplă cu volane pentru evenimente</t>
        </is>
      </c>
      <c r="C58" s="3" t="inlineStr">
        <is>
          <t>Multicolor</t>
        </is>
      </c>
      <c r="D58" s="3" t="inlineStr">
        <is>
          <t>FBR-ksn153</t>
        </is>
      </c>
      <c r="E58" s="3" t="inlineStr">
        <is>
          <t>38-40</t>
        </is>
      </c>
      <c r="F58" s="5" t="n">
        <v>1</v>
      </c>
      <c r="G58" s="6" t="n">
        <v>348</v>
      </c>
      <c r="H58" s="6" t="n">
        <v>1189</v>
      </c>
      <c r="I58" s="6">
        <f>F58*G58</f>
        <v/>
      </c>
      <c r="J58" s="6">
        <f>F58*H58</f>
        <v/>
      </c>
      <c r="K58" s="6">
        <f>J58*M58/(100+M58)</f>
        <v/>
      </c>
      <c r="L58" s="6">
        <f>J58-I58-K58</f>
        <v/>
      </c>
      <c r="M58" s="3" t="n">
        <v>21</v>
      </c>
      <c r="N58" s="6">
        <f>I58</f>
        <v/>
      </c>
    </row>
    <row r="59">
      <c r="A59" s="7" t="n">
        <v>12412</v>
      </c>
      <c r="B59" s="8" t="inlineStr">
        <is>
          <t>Desire lungă elegantă fucsia cu design</t>
        </is>
      </c>
      <c r="C59" s="7" t="inlineStr">
        <is>
          <t>Fucsia</t>
        </is>
      </c>
      <c r="D59" s="7" t="inlineStr">
        <is>
          <t>FBR-4703</t>
        </is>
      </c>
      <c r="E59" s="7" t="inlineStr">
        <is>
          <t>36-40</t>
        </is>
      </c>
      <c r="F59" s="9" t="n">
        <v>3</v>
      </c>
      <c r="G59" s="10" t="n">
        <v>168</v>
      </c>
      <c r="H59" s="10" t="n">
        <v>872</v>
      </c>
      <c r="I59" s="10">
        <f>F59*G59</f>
        <v/>
      </c>
      <c r="J59" s="10">
        <f>F59*H59</f>
        <v/>
      </c>
      <c r="K59" s="10">
        <f>J59*M59/(100+M59)</f>
        <v/>
      </c>
      <c r="L59" s="10">
        <f>J59-I59-K59</f>
        <v/>
      </c>
      <c r="M59" s="7" t="n">
        <v>21</v>
      </c>
      <c r="N59" s="10">
        <f>I59</f>
        <v/>
      </c>
    </row>
    <row r="60">
      <c r="A60" s="3" t="n">
        <v>12413</v>
      </c>
      <c r="B60" s="4" t="inlineStr">
        <is>
          <t>Claire verde lime lungă elegantă tip</t>
        </is>
      </c>
      <c r="C60" s="3" t="inlineStr">
        <is>
          <t>Verde lime</t>
        </is>
      </c>
      <c r="D60" s="3" t="inlineStr">
        <is>
          <t>FBR-6276</t>
        </is>
      </c>
      <c r="E60" s="3" t="inlineStr">
        <is>
          <t>38-44</t>
        </is>
      </c>
      <c r="F60" s="5" t="n">
        <v>4</v>
      </c>
      <c r="G60" s="6" t="n">
        <v>249</v>
      </c>
      <c r="H60" s="6" t="n">
        <v>1189</v>
      </c>
      <c r="I60" s="6">
        <f>F60*G60</f>
        <v/>
      </c>
      <c r="J60" s="6">
        <f>F60*H60</f>
        <v/>
      </c>
      <c r="K60" s="6">
        <f>J60*M60/(100+M60)</f>
        <v/>
      </c>
      <c r="L60" s="6">
        <f>J60-I60-K60</f>
        <v/>
      </c>
      <c r="M60" s="3" t="n">
        <v>21</v>
      </c>
      <c r="N60" s="6">
        <f>I60</f>
        <v/>
      </c>
    </row>
    <row r="61">
      <c r="A61" s="7" t="n">
        <v>12414</v>
      </c>
      <c r="B61" s="8" t="inlineStr">
        <is>
          <t>Desire albă lungă elegantă cu floare</t>
        </is>
      </c>
      <c r="C61" s="7" t="inlineStr">
        <is>
          <t>Alb</t>
        </is>
      </c>
      <c r="D61" s="7" t="inlineStr">
        <is>
          <t>FBR-4703</t>
        </is>
      </c>
      <c r="E61" s="7" t="inlineStr">
        <is>
          <t>38-42</t>
        </is>
      </c>
      <c r="F61" s="9" t="n">
        <v>3</v>
      </c>
      <c r="G61" s="10" t="n">
        <v>168</v>
      </c>
      <c r="H61" s="10" t="n">
        <v>872</v>
      </c>
      <c r="I61" s="10">
        <f>F61*G61</f>
        <v/>
      </c>
      <c r="J61" s="10">
        <f>F61*H61</f>
        <v/>
      </c>
      <c r="K61" s="10">
        <f>J61*M61/(100+M61)</f>
        <v/>
      </c>
      <c r="L61" s="10">
        <f>J61-I61-K61</f>
        <v/>
      </c>
      <c r="M61" s="7" t="n">
        <v>21</v>
      </c>
      <c r="N61" s="10">
        <f>I61</f>
        <v/>
      </c>
    </row>
    <row r="62">
      <c r="A62" s="3" t="n">
        <v>12415</v>
      </c>
      <c r="B62" s="4" t="inlineStr">
        <is>
          <t>lunga Martina fucsia tip</t>
        </is>
      </c>
      <c r="C62" s="3" t="inlineStr">
        <is>
          <t>Fucsia</t>
        </is>
      </c>
      <c r="D62" s="3" t="inlineStr">
        <is>
          <t>FBR-6276</t>
        </is>
      </c>
      <c r="E62" s="3" t="inlineStr">
        <is>
          <t>38-44</t>
        </is>
      </c>
      <c r="F62" s="5" t="n">
        <v>4</v>
      </c>
      <c r="G62" s="6" t="n">
        <v>249</v>
      </c>
      <c r="H62" s="6" t="n">
        <v>1189</v>
      </c>
      <c r="I62" s="6">
        <f>F62*G62</f>
        <v/>
      </c>
      <c r="J62" s="6">
        <f>F62*H62</f>
        <v/>
      </c>
      <c r="K62" s="6">
        <f>J62*M62/(100+M62)</f>
        <v/>
      </c>
      <c r="L62" s="6">
        <f>J62-I62-K62</f>
        <v/>
      </c>
      <c r="M62" s="3" t="n">
        <v>21</v>
      </c>
      <c r="N62" s="6">
        <f>I62</f>
        <v/>
      </c>
    </row>
    <row r="63">
      <c r="A63" s="11" t="inlineStr">
        <is>
          <t>TOTAL</t>
        </is>
      </c>
      <c r="B63" s="12" t="n"/>
      <c r="C63" s="12" t="n"/>
      <c r="D63" s="12" t="n"/>
      <c r="E63" s="12" t="n"/>
      <c r="F63" s="13">
        <f>SUM(F4:F62)</f>
        <v/>
      </c>
      <c r="G63" s="12" t="n"/>
      <c r="H63" s="12" t="n"/>
      <c r="I63" s="14">
        <f>SUM(I4:I62)</f>
        <v/>
      </c>
      <c r="J63" s="14">
        <f>SUM(J4:J62)</f>
        <v/>
      </c>
      <c r="K63" s="14">
        <f>SUM(K4:K62)</f>
        <v/>
      </c>
      <c r="L63" s="14">
        <f>SUM(L4:L62)</f>
        <v/>
      </c>
      <c r="M63" s="12" t="n"/>
      <c r="N63" s="14">
        <f>SUM(N4:N62)</f>
        <v/>
      </c>
    </row>
  </sheetData>
  <mergeCells count="2">
    <mergeCell ref="A63:E63"/>
    <mergeCell ref="A1:N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2026-03-02T21:57:38Z</dcterms:created>
  <dcterms:modified xsi:type="dcterms:W3CDTF">2026-03-02T21:57:38Z</dcterms:modified>
</cp:coreProperties>
</file>