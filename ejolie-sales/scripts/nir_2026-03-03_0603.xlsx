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3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2" customWidth="1" min="5" max="5"/>
    <col width="8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0" customWidth="1" min="13" max="13"/>
    <col width="16" customWidth="1" min="14" max="14"/>
  </cols>
  <sheetData>
    <row r="1" ht="30" customHeight="1">
      <c r="A1" s="1" t="inlineStr">
        <is>
          <t>NIR - Notă de Intrare Recepție — 03.03.2026</t>
        </is>
      </c>
    </row>
    <row r="3" ht="35" customHeight="1">
      <c r="A3" s="2" t="inlineStr">
        <is>
          <t>Id produs</t>
        </is>
      </c>
      <c r="B3" s="2" t="inlineStr">
        <is>
          <t>Nume</t>
        </is>
      </c>
      <c r="C3" s="2" t="inlineStr">
        <is>
          <t>Culoare</t>
        </is>
      </c>
      <c r="D3" s="2" t="inlineStr">
        <is>
          <t>Cod</t>
        </is>
      </c>
      <c r="E3" s="2" t="inlineStr">
        <is>
          <t>Mărimi</t>
        </is>
      </c>
      <c r="F3" s="2" t="inlineStr">
        <is>
          <t>Buc</t>
        </is>
      </c>
      <c r="G3" s="2" t="inlineStr">
        <is>
          <t>Preț intrare</t>
        </is>
      </c>
      <c r="H3" s="2" t="inlineStr">
        <is>
          <t>Preț ieșire</t>
        </is>
      </c>
      <c r="I3" s="2" t="inlineStr">
        <is>
          <t>Valoare intrare</t>
        </is>
      </c>
      <c r="J3" s="2" t="inlineStr">
        <is>
          <t>Valoare ieșire</t>
        </is>
      </c>
      <c r="K3" s="2" t="inlineStr">
        <is>
          <t>TVA</t>
        </is>
      </c>
      <c r="L3" s="2" t="inlineStr">
        <is>
          <t>Adaos comercial</t>
        </is>
      </c>
      <c r="M3" s="2" t="inlineStr">
        <is>
          <t>Cotă TVA</t>
        </is>
      </c>
      <c r="N3" s="2" t="inlineStr">
        <is>
          <t>Total intrare</t>
        </is>
      </c>
    </row>
    <row r="4">
      <c r="A4" s="3" t="n">
        <v>10394</v>
      </c>
      <c r="B4" s="4" t="inlineStr">
        <is>
          <t>Electra</t>
        </is>
      </c>
      <c r="C4" s="3" t="inlineStr">
        <is>
          <t>Cappuccino, Verde</t>
        </is>
      </c>
      <c r="D4" s="3" t="inlineStr">
        <is>
          <t>FBR-9840</t>
        </is>
      </c>
      <c r="E4" s="3" t="inlineStr">
        <is>
          <t>38-48</t>
        </is>
      </c>
      <c r="F4" s="5" t="n">
        <v>3</v>
      </c>
      <c r="G4" s="6" t="n">
        <v>550</v>
      </c>
      <c r="H4" s="6" t="n">
        <v>1012</v>
      </c>
      <c r="I4" s="6">
        <f>F4*G4</f>
        <v/>
      </c>
      <c r="J4" s="6">
        <f>F4*H4</f>
        <v/>
      </c>
      <c r="K4" s="6">
        <f>J4*M4/(100+M4)</f>
        <v/>
      </c>
      <c r="L4" s="6">
        <f>J4-I4-K4</f>
        <v/>
      </c>
      <c r="M4" s="3" t="n">
        <v>21</v>
      </c>
      <c r="N4" s="6">
        <f>I4</f>
        <v/>
      </c>
    </row>
    <row r="5">
      <c r="A5" s="7" t="n">
        <v>12345</v>
      </c>
      <c r="B5" s="8" t="inlineStr">
        <is>
          <t>Odessa</t>
        </is>
      </c>
      <c r="C5" s="7" t="inlineStr">
        <is>
          <t>Auriu</t>
        </is>
      </c>
      <c r="D5" s="7" t="inlineStr">
        <is>
          <t>FBR-D8147</t>
        </is>
      </c>
      <c r="E5" s="7" t="inlineStr">
        <is>
          <t>38-42</t>
        </is>
      </c>
      <c r="F5" s="9" t="n">
        <v>4</v>
      </c>
      <c r="G5" s="10" t="n">
        <v>571</v>
      </c>
      <c r="H5" s="10" t="n">
        <v>1439.2</v>
      </c>
      <c r="I5" s="10">
        <f>F5*G5</f>
        <v/>
      </c>
      <c r="J5" s="10">
        <f>F5*H5</f>
        <v/>
      </c>
      <c r="K5" s="10">
        <f>J5*M5/(100+M5)</f>
        <v/>
      </c>
      <c r="L5" s="10">
        <f>J5-I5-K5</f>
        <v/>
      </c>
      <c r="M5" s="7" t="n">
        <v>21</v>
      </c>
      <c r="N5" s="10">
        <f>I5</f>
        <v/>
      </c>
    </row>
    <row r="6">
      <c r="A6" s="3" t="n">
        <v>12348</v>
      </c>
      <c r="B6" s="4" t="inlineStr">
        <is>
          <t>Odessa</t>
        </is>
      </c>
      <c r="C6" s="3" t="inlineStr">
        <is>
          <t>Bordo</t>
        </is>
      </c>
      <c r="D6" s="3" t="inlineStr">
        <is>
          <t>FBR-D8147</t>
        </is>
      </c>
      <c r="E6" s="3" t="inlineStr">
        <is>
          <t>38-42</t>
        </is>
      </c>
      <c r="F6" s="5" t="n">
        <v>4</v>
      </c>
      <c r="G6" s="6" t="n">
        <v>571</v>
      </c>
      <c r="H6" s="6" t="n">
        <v>1439.2</v>
      </c>
      <c r="I6" s="6">
        <f>F6*G6</f>
        <v/>
      </c>
      <c r="J6" s="6">
        <f>F6*H6</f>
        <v/>
      </c>
      <c r="K6" s="6">
        <f>J6*M6/(100+M6)</f>
        <v/>
      </c>
      <c r="L6" s="6">
        <f>J6-I6-K6</f>
        <v/>
      </c>
      <c r="M6" s="3" t="n">
        <v>21</v>
      </c>
      <c r="N6" s="6">
        <f>I6</f>
        <v/>
      </c>
    </row>
    <row r="7">
      <c r="A7" s="7" t="n">
        <v>12351</v>
      </c>
      <c r="B7" s="8" t="inlineStr">
        <is>
          <t>Elysia</t>
        </is>
      </c>
      <c r="C7" s="7" t="inlineStr">
        <is>
          <t>Negru</t>
        </is>
      </c>
      <c r="D7" s="7" t="inlineStr">
        <is>
          <t>FBR-E25302</t>
        </is>
      </c>
      <c r="E7" s="7" t="inlineStr">
        <is>
          <t>38-42</t>
        </is>
      </c>
      <c r="F7" s="9" t="n">
        <v>5</v>
      </c>
      <c r="G7" s="10" t="n">
        <v>411</v>
      </c>
      <c r="H7" s="10" t="n">
        <v>1150.8</v>
      </c>
      <c r="I7" s="10">
        <f>F7*G7</f>
        <v/>
      </c>
      <c r="J7" s="10">
        <f>F7*H7</f>
        <v/>
      </c>
      <c r="K7" s="10">
        <f>J7*M7/(100+M7)</f>
        <v/>
      </c>
      <c r="L7" s="10">
        <f>J7-I7-K7</f>
        <v/>
      </c>
      <c r="M7" s="7" t="n">
        <v>21</v>
      </c>
      <c r="N7" s="10">
        <f>I7</f>
        <v/>
      </c>
    </row>
    <row r="8">
      <c r="A8" s="11" t="inlineStr">
        <is>
          <t>TOTAL</t>
        </is>
      </c>
      <c r="B8" s="12" t="n"/>
      <c r="C8" s="12" t="n"/>
      <c r="D8" s="12" t="n"/>
      <c r="E8" s="12" t="n"/>
      <c r="F8" s="13">
        <f>SUM(F4:F7)</f>
        <v/>
      </c>
      <c r="G8" s="12" t="n"/>
      <c r="H8" s="12" t="n"/>
      <c r="I8" s="14">
        <f>SUM(I4:I7)</f>
        <v/>
      </c>
      <c r="J8" s="14">
        <f>SUM(J4:J7)</f>
        <v/>
      </c>
      <c r="K8" s="14">
        <f>SUM(K4:K7)</f>
        <v/>
      </c>
      <c r="L8" s="14">
        <f>SUM(L4:L7)</f>
        <v/>
      </c>
      <c r="M8" s="12" t="n"/>
      <c r="N8" s="14">
        <f>SUM(N4:N7)</f>
        <v/>
      </c>
    </row>
  </sheetData>
  <mergeCells count="2">
    <mergeCell ref="A8:E8"/>
    <mergeCell ref="A1:N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2026-03-03T06:03:08Z</dcterms:created>
  <dcterms:modified xsi:type="dcterms:W3CDTF">2026-03-03T06:03:08Z</dcterms:modified>
</cp:coreProperties>
</file>